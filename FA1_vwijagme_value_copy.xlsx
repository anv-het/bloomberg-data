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26568D67-7D67-4B59-A42F-05FA035FE2E4}" xr6:coauthVersionLast="47" xr6:coauthVersionMax="47" xr10:uidLastSave="{00000000-0000-0000-0000-000000000000}"/>
  <bookViews>
    <workbookView xWindow="4820" yWindow="4820" windowWidth="28800" windowHeight="15370" xr2:uid="{00000000-000D-0000-FFFF-FFFF00000000}"/>
  </bookViews>
  <sheets>
    <sheet name="BBG Adj Highligh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E21" i="2"/>
  <c r="E6" i="2"/>
  <c r="E9" i="2"/>
  <c r="E10" i="2"/>
  <c r="E7" i="2"/>
  <c r="E24" i="2"/>
  <c r="E23" i="2"/>
  <c r="E25" i="2"/>
  <c r="E8" i="2"/>
  <c r="G10" i="2"/>
  <c r="G9" i="2"/>
  <c r="G7" i="2"/>
  <c r="G23" i="2"/>
  <c r="H25" i="2"/>
  <c r="G8" i="2"/>
  <c r="G25" i="2"/>
  <c r="G6" i="2"/>
  <c r="G24" i="2"/>
  <c r="H8" i="2"/>
  <c r="H6" i="2"/>
  <c r="H23" i="2"/>
  <c r="H24" i="2"/>
  <c r="H7" i="2"/>
  <c r="H10" i="2"/>
  <c r="H9" i="2"/>
  <c r="C20" i="2"/>
  <c r="F23" i="2"/>
  <c r="F8" i="2"/>
  <c r="F10" i="2"/>
  <c r="G12" i="2"/>
  <c r="F9" i="2"/>
  <c r="G16" i="2"/>
  <c r="F6" i="2"/>
  <c r="F7" i="2"/>
  <c r="G18" i="2"/>
  <c r="F24" i="2"/>
  <c r="G14" i="2"/>
  <c r="F25" i="2"/>
  <c r="C9" i="2"/>
  <c r="C10" i="2"/>
  <c r="C23" i="2"/>
  <c r="C25" i="2"/>
  <c r="C24" i="2"/>
  <c r="C7" i="2"/>
  <c r="C8" i="2"/>
  <c r="C6" i="2"/>
  <c r="E16" i="2"/>
  <c r="E12" i="2"/>
  <c r="E14" i="2"/>
  <c r="E18" i="2"/>
  <c r="D23" i="2"/>
  <c r="D9" i="2"/>
  <c r="D10" i="2"/>
  <c r="D25" i="2"/>
  <c r="I6" i="2"/>
  <c r="D8" i="2"/>
  <c r="D7" i="2"/>
  <c r="I24" i="2"/>
  <c r="D6" i="2"/>
  <c r="I9" i="2"/>
  <c r="I23" i="2"/>
  <c r="D24" i="2"/>
  <c r="I10" i="2"/>
  <c r="I7" i="2"/>
  <c r="I25" i="2"/>
  <c r="G13" i="2"/>
  <c r="G21" i="2"/>
  <c r="I8" i="2"/>
  <c r="C21" i="2"/>
  <c r="C13" i="2"/>
  <c r="H20" i="2"/>
  <c r="F21" i="2"/>
  <c r="F13" i="2"/>
  <c r="H18" i="2"/>
  <c r="H12" i="2"/>
  <c r="H16" i="2"/>
  <c r="H14" i="2"/>
  <c r="F20" i="2"/>
  <c r="I18" i="2"/>
  <c r="C16" i="2"/>
  <c r="C18" i="2"/>
  <c r="C12" i="2"/>
  <c r="C14" i="2"/>
  <c r="I12" i="2"/>
  <c r="I14" i="2"/>
  <c r="I16" i="2"/>
  <c r="G20" i="2"/>
  <c r="F14" i="2"/>
  <c r="F16" i="2"/>
  <c r="F12" i="2"/>
  <c r="F18" i="2"/>
  <c r="D21" i="2"/>
  <c r="D13" i="2"/>
  <c r="I20" i="2"/>
  <c r="I21" i="2"/>
  <c r="I13" i="2"/>
  <c r="D16" i="2"/>
  <c r="D14" i="2"/>
  <c r="D18" i="2"/>
  <c r="D12" i="2"/>
  <c r="D20" i="2"/>
  <c r="E20" i="2"/>
  <c r="H21" i="2"/>
  <c r="H13" i="2"/>
</calcChain>
</file>

<file path=xl/sharedStrings.xml><?xml version="1.0" encoding="utf-8"?>
<sst xmlns="http://schemas.openxmlformats.org/spreadsheetml/2006/main" count="68" uniqueCount="56">
  <si>
    <t>Right click to show data transparency (not supported for all values)</t>
  </si>
  <si>
    <t>Indian Oil Corp Ltd (IOCL IN) - BBG Adj Highlights</t>
  </si>
  <si>
    <t>In Millions of INR</t>
  </si>
  <si>
    <t>FY 2019</t>
  </si>
  <si>
    <t>FY 2020</t>
  </si>
  <si>
    <t>FY 2021</t>
  </si>
  <si>
    <t>FY 2022</t>
  </si>
  <si>
    <t>FY 2023</t>
  </si>
  <si>
    <t>FY 2024</t>
  </si>
  <si>
    <t>FY 2025</t>
  </si>
  <si>
    <t>Current/LTM</t>
  </si>
  <si>
    <t>FY 2026 Est</t>
  </si>
  <si>
    <t>FY 2027 Est</t>
  </si>
  <si>
    <t>12 Months Ending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</si>
  <si>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</si>
  <si>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</si>
  <si>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</si>
  <si>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</si>
  <si>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</si>
  <si>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</si>
  <si>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</si>
  <si>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06/30/2025</t>
  </si>
  <si>
    <t>03/31/2026</t>
  </si>
  <si>
    <t>03/31/2027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</si>
  <si>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</si>
  <si>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</si>
  <si>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</si>
  <si>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</si>
  <si>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</si>
  <si>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</si>
  <si>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</si>
  <si>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SHORT_AND_LONG_TERM_DEBT</t>
  </si>
  <si>
    <t>Enterprise Value</t>
  </si>
  <si>
    <t>ENTERPRISE_VALUE</t>
  </si>
  <si>
    <t>Revenue, Adj</t>
  </si>
  <si>
    <t>SALES_REV_TURN</t>
  </si>
  <si>
    <t xml:space="preserve">  Growth %, YoY</t>
  </si>
  <si>
    <t>SALES_GROWTH</t>
  </si>
  <si>
    <t>Gross Profit, Adj</t>
  </si>
  <si>
    <t>GROSS_PROFIT</t>
  </si>
  <si>
    <t xml:space="preserve">  Margin %</t>
  </si>
  <si>
    <t>—</t>
  </si>
  <si>
    <t>EBITDA, Adj</t>
  </si>
  <si>
    <t>EBITDA</t>
  </si>
  <si>
    <t>Net Income, Adj</t>
  </si>
  <si>
    <t>EARN_FOR_COMMON</t>
  </si>
  <si>
    <t>EPS, Adj</t>
  </si>
  <si>
    <t>IS_DIL_EPS_CONT_OPS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</si>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</sst>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5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2" fontId="1" fillId="34" borderId="2">
      <alignment horizontal="right"/>
    </xf>
    <xf numFmtId="172" fontId="1" fillId="35" borderId="2">
      <alignment horizontal="right"/>
    </xf>
    <xf numFmtId="3" fontId="8" fillId="34" borderId="2">
      <alignment horizontal="right"/>
    </xf>
    <xf numFmtId="172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72" fontId="8" fillId="35" borderId="2">
      <alignment horizontal="right"/>
    </xf>
    <xf numFmtId="4" fontId="8" fillId="35" borderId="2">
      <alignment horizontal="right"/>
    </xf>
    <xf numFmtId="172" fontId="11" fillId="34" borderId="2">
      <alignment horizontal="right"/>
    </xf>
    <xf numFmtId="4" fontId="11" fillId="34" borderId="2">
      <alignment horizontal="right"/>
    </xf>
    <xf numFmtId="172" fontId="11" fillId="35" borderId="2">
      <alignment horizontal="right"/>
    </xf>
    <xf numFmtId="4" fontId="11" fillId="35" borderId="2">
      <alignment horizontal="right"/>
    </xf>
  </cellStyleXfs>
  <cellXfs count="24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172" fontId="1" fillId="34" borderId="2" xfId="53">
      <alignment horizontal="right"/>
    </xf>
    <xf numFmtId="172" fontId="1" fillId="35" borderId="2" xfId="54">
      <alignment horizontal="right"/>
    </xf>
    <xf numFmtId="3" fontId="8" fillId="34" borderId="2" xfId="55">
      <alignment horizontal="right"/>
    </xf>
    <xf numFmtId="172" fontId="8" fillId="34" borderId="2" xfId="56">
      <alignment horizontal="right"/>
    </xf>
    <xf numFmtId="4" fontId="8" fillId="34" borderId="2" xfId="57">
      <alignment horizontal="right"/>
    </xf>
    <xf numFmtId="3" fontId="8" fillId="35" borderId="2" xfId="58">
      <alignment horizontal="right"/>
    </xf>
    <xf numFmtId="172" fontId="8" fillId="35" borderId="2" xfId="59">
      <alignment horizontal="right"/>
    </xf>
    <xf numFmtId="4" fontId="8" fillId="35" borderId="2" xfId="60">
      <alignment horizontal="right"/>
    </xf>
    <xf numFmtId="172" fontId="11" fillId="34" borderId="2" xfId="61">
      <alignment horizontal="right"/>
    </xf>
    <xf numFmtId="4" fontId="11" fillId="34" borderId="2" xfId="62">
      <alignment horizontal="right"/>
    </xf>
    <xf numFmtId="172" fontId="11" fillId="35" borderId="2" xfId="63">
      <alignment horizontal="right"/>
    </xf>
    <xf numFmtId="4" fontId="11" fillId="35" borderId="2" xfId="64">
      <alignment horizontal="right"/>
    </xf>
  </cellXfs>
  <cellStyles count="6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1_grouped" xfId="56" xr:uid="{00000000-0005-0000-0000-000024000000}"/>
    <cellStyle name="fa_data_bold_2_grouped" xfId="57" xr:uid="{00000000-0005-0000-0000-000025000000}"/>
    <cellStyle name="fa_data_current_bold_0_grouped" xfId="58" xr:uid="{00000000-0005-0000-0000-000026000000}"/>
    <cellStyle name="fa_data_current_bold_1_grouped" xfId="59" xr:uid="{00000000-0005-0000-0000-000027000000}"/>
    <cellStyle name="fa_data_current_bold_2_grouped" xfId="60" xr:uid="{00000000-0005-0000-0000-000028000000}"/>
    <cellStyle name="fa_data_current_italic_1_grouped" xfId="63" xr:uid="{00000000-0005-0000-0000-000029000000}"/>
    <cellStyle name="fa_data_current_italic_2_grouped" xfId="64" xr:uid="{00000000-0005-0000-0000-00002A000000}"/>
    <cellStyle name="fa_data_current_standard_1_grouped" xfId="54" xr:uid="{00000000-0005-0000-0000-00002B000000}"/>
    <cellStyle name="fa_data_italic_1_grouped" xfId="61" xr:uid="{00000000-0005-0000-0000-00002C000000}"/>
    <cellStyle name="fa_data_italic_2_grouped" xfId="62" xr:uid="{00000000-0005-0000-0000-00002D000000}"/>
    <cellStyle name="fa_data_standard_1_grouped" xfId="53" xr:uid="{00000000-0005-0000-0000-00002E000000}"/>
    <cellStyle name="fa_footer_italic" xfId="34" xr:uid="{00000000-0005-0000-0000-00002F000000}"/>
    <cellStyle name="fa_row_header_bold" xfId="35" xr:uid="{00000000-0005-0000-0000-000030000000}"/>
    <cellStyle name="fa_row_header_italic" xfId="36" xr:uid="{00000000-0005-0000-0000-000031000000}"/>
    <cellStyle name="fa_row_header_standard" xfId="37" xr:uid="{00000000-0005-0000-0000-000032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BDH|16653276503377968993</stp>
        <tr r="H18" s="2"/>
      </tp>
      <tp t="s">
        <v>#N/A N/A</v>
        <stp/>
        <stp>BDH|11436400347752949984</stp>
        <tr r="F20" s="2"/>
      </tp>
      <tp t="s">
        <v>#N/A N/A</v>
        <stp/>
        <stp>BDH|15447319614608034561</stp>
        <tr r="F21" s="2"/>
      </tp>
      <tp t="s">
        <v>#N/A N/A</v>
        <stp/>
        <stp>BDH|10570918237403370375</stp>
        <tr r="D16" s="2"/>
      </tp>
      <tp t="s">
        <v>#N/A N/A</v>
        <stp/>
        <stp>BDH|13841254485677391425</stp>
        <tr r="G10" s="2"/>
      </tp>
      <tp t="s">
        <v>#N/A N/A</v>
        <stp/>
        <stp>BDH|11340453049983238800</stp>
        <tr r="H16" s="2"/>
      </tp>
      <tp t="s">
        <v>#N/A N/A</v>
        <stp/>
        <stp>BDH|10146629491001740571</stp>
        <tr r="D14" s="2"/>
      </tp>
      <tp t="s">
        <v>#N/A N/A</v>
        <stp/>
        <stp>BDH|16117168180721990576</stp>
        <tr r="I24" s="2"/>
      </tp>
      <tp t="s">
        <v>#N/A N/A</v>
        <stp/>
        <stp>BDH|15359569327650120996</stp>
        <tr r="I18" s="2"/>
      </tp>
      <tp t="s">
        <v>#N/A N/A</v>
        <stp/>
        <stp>BDH|16895388159249570222</stp>
        <tr r="H25" s="2"/>
      </tp>
      <tp t="s">
        <v>#N/A N/A</v>
        <stp/>
        <stp>BDH|17214349051099743013</stp>
        <tr r="H21" s="2"/>
      </tp>
      <tp t="s">
        <v>#N/A N/A</v>
        <stp/>
        <stp>BDH|14113921078946427442</stp>
        <tr r="D21" s="2"/>
      </tp>
      <tp t="s">
        <v>#N/A N/A</v>
        <stp/>
        <stp>BDH|12089893572041079418</stp>
        <tr r="E20" s="2"/>
      </tp>
      <tp t="s">
        <v>#N/A N/A</v>
        <stp/>
        <stp>BDH|18382631155027018545</stp>
        <tr r="I6" s="2"/>
      </tp>
      <tp t="s">
        <v>#N/A N/A</v>
        <stp/>
        <stp>BDH|11208414846751079963</stp>
        <tr r="D10" s="2"/>
      </tp>
      <tp t="s">
        <v>#N/A N/A</v>
        <stp/>
        <stp>BDH|13678194476085518970</stp>
        <tr r="C16" s="2"/>
      </tp>
      <tp t="s">
        <v>#N/A N/A</v>
        <stp/>
        <stp>BDH|17582470922257430840</stp>
        <tr r="G9" s="2"/>
      </tp>
      <tp t="s">
        <v>#N/A N/A</v>
        <stp/>
        <stp>BDH|16506109013598378090</stp>
        <tr r="G20" s="2"/>
      </tp>
      <tp t="s">
        <v>#N/A N/A</v>
        <stp/>
        <stp>BDH|14830482298694676300</stp>
        <tr r="E6" s="2"/>
      </tp>
      <tp t="s">
        <v>#N/A N/A</v>
        <stp/>
        <stp>BDH|13666486614618058043</stp>
        <tr r="E16" s="2"/>
      </tp>
      <tp t="s">
        <v>#N/A N/A</v>
        <stp/>
        <stp>BDH|16858249202142744925</stp>
        <tr r="D20" s="2"/>
      </tp>
      <tp t="s">
        <v>#N/A N/A</v>
        <stp/>
        <stp>BDH|15812536236444118876</stp>
        <tr r="F14" s="2"/>
      </tp>
      <tp t="s">
        <v>#N/A N/A</v>
        <stp/>
        <stp>BDH|12924994208050271401</stp>
        <tr r="D9" s="2"/>
      </tp>
      <tp t="s">
        <v>#N/A N/A</v>
        <stp/>
        <stp>BDH|12271056518657690981</stp>
        <tr r="F10" s="2"/>
      </tp>
      <tp t="s">
        <v>#N/A N/A</v>
        <stp/>
        <stp>BDH|10273492186975152444</stp>
        <tr r="I21" s="2"/>
      </tp>
      <tp t="s">
        <v>#N/A N/A</v>
        <stp/>
        <stp>BDH|12579996382516794826</stp>
        <tr r="C12" s="2"/>
      </tp>
      <tp t="s">
        <v>#N/A N/A</v>
        <stp/>
        <stp>BDH|18373024734912942435</stp>
        <tr r="G16" s="2"/>
      </tp>
      <tp t="s">
        <v>#N/A N/A</v>
        <stp/>
        <stp>BDH|13280576918588312206</stp>
        <tr r="G12" s="2"/>
      </tp>
      <tp t="s">
        <v>#N/A N/A</v>
        <stp/>
        <stp>BDH|13611073437705087651</stp>
        <tr r="D23" s="2"/>
      </tp>
      <tp t="s">
        <v>#N/A N/A</v>
        <stp/>
        <stp>BDH|11135522651185052752</stp>
        <tr r="E7" s="2"/>
      </tp>
      <tp t="s">
        <v>#N/A N/A</v>
        <stp/>
        <stp>BDH|10394584359347995436</stp>
        <tr r="I7" s="2"/>
      </tp>
      <tp t="s">
        <v>#N/A N/A</v>
        <stp/>
        <stp>BDH|13567340547357685391</stp>
        <tr r="C10" s="2"/>
      </tp>
      <tp t="s">
        <v>#N/A N/A</v>
        <stp/>
        <stp>BDH|11059145170570896716</stp>
        <tr r="F9" s="2"/>
      </tp>
      <tp t="s">
        <v>#N/A N/A</v>
        <stp/>
        <stp>BDH|14149742006291859266</stp>
        <tr r="H12" s="2"/>
      </tp>
      <tp t="s">
        <v>#N/A N/A</v>
        <stp/>
        <stp>BDH|17234471063667938383</stp>
        <tr r="F23" s="2"/>
      </tp>
      <tp t="s">
        <v>#N/A N/A</v>
        <stp/>
        <stp>BDH|12396222607792920393</stp>
        <tr r="H8" s="2"/>
      </tp>
      <tp t="s">
        <v>#N/A N/A</v>
        <stp/>
        <stp>BDH|12967726711681784463</stp>
        <tr r="I20" s="2"/>
      </tp>
      <tp t="s">
        <v>#N/A N/A</v>
        <stp/>
        <stp>BDH|14144063658741669695</stp>
        <tr r="I23" s="2"/>
      </tp>
      <tp t="s">
        <v>#N/A N/A</v>
        <stp/>
        <stp>BDH|16073528781505468899</stp>
        <tr r="C21" s="2"/>
      </tp>
      <tp t="s">
        <v>#N/A N/A</v>
        <stp/>
        <stp>BDH|17513308637499711902</stp>
        <tr r="C20" s="2"/>
      </tp>
      <tp t="s">
        <v>#N/A N/A</v>
        <stp/>
        <stp>BDH|16674797335464652147</stp>
        <tr r="E12" s="2"/>
      </tp>
      <tp t="s">
        <v>#N/A N/A</v>
        <stp/>
        <stp>BDH|10333018333363109419</stp>
        <tr r="E13" s="2"/>
      </tp>
      <tp t="s">
        <v>#N/A N/A</v>
        <stp/>
        <stp>BDH|14283448658791420035</stp>
        <tr r="E9" s="2"/>
      </tp>
      <tp t="s">
        <v>#N/A N/A</v>
        <stp/>
        <stp>BDH|11973492352294370102</stp>
        <tr r="F8" s="2"/>
      </tp>
      <tp t="s">
        <v>#N/A N/A</v>
        <stp/>
        <stp>BDH|10959125729097627144</stp>
        <tr r="C23" s="2"/>
      </tp>
      <tp t="s">
        <v>#N/A N/A</v>
        <stp/>
        <stp>BDH|15128351913720191253</stp>
        <tr r="C9" s="2"/>
      </tp>
      <tp t="s">
        <v>#N/A N/A</v>
        <stp/>
        <stp>BDH|10560683416846441450</stp>
        <tr r="H6" s="2"/>
      </tp>
    </main>
    <main first="bofaddin.rtdserver">
      <tp t="s">
        <v>#N/A N/A</v>
        <stp/>
        <stp>BDH|4449813425006943420</stp>
        <tr r="C13" s="2"/>
      </tp>
      <tp t="s">
        <v>#N/A N/A</v>
        <stp/>
        <stp>BDH|3522975248256370409</stp>
        <tr r="E18" s="2"/>
      </tp>
      <tp t="s">
        <v>#N/A N/A</v>
        <stp/>
        <stp>BDH|2018257285302206785</stp>
        <tr r="H10" s="2"/>
      </tp>
      <tp t="s">
        <v>#N/A N/A</v>
        <stp/>
        <stp>BDH|1722764171009033536</stp>
        <tr r="F12" s="2"/>
      </tp>
      <tp t="s">
        <v>#N/A N/A</v>
        <stp/>
        <stp>BDH|2378298229389801504</stp>
        <tr r="G6" s="2"/>
      </tp>
      <tp t="s">
        <v>#N/A N/A</v>
        <stp/>
        <stp>BDH|3669498416620740822</stp>
        <tr r="D12" s="2"/>
      </tp>
      <tp t="s">
        <v>#N/A N/A</v>
        <stp/>
        <stp>BDH|4711276656308304533</stp>
        <tr r="I10" s="2"/>
      </tp>
      <tp t="s">
        <v>#N/A N/A</v>
        <stp/>
        <stp>BDH|5265339347319134400</stp>
        <tr r="D8" s="2"/>
      </tp>
      <tp t="s">
        <v>#N/A N/A</v>
        <stp/>
        <stp>BDH|6121134748849209297</stp>
        <tr r="D18" s="2"/>
      </tp>
      <tp t="s">
        <v>#N/A N/A</v>
        <stp/>
        <stp>BDH|9180908010992253987</stp>
        <tr r="F7" s="2"/>
      </tp>
      <tp t="s">
        <v>#N/A N/A</v>
        <stp/>
        <stp>BDH|4749516574029872400</stp>
        <tr r="C18" s="2"/>
      </tp>
      <tp t="s">
        <v>#N/A N/A</v>
        <stp/>
        <stp>BDH|5256094341048706263</stp>
        <tr r="E23" s="2"/>
      </tp>
      <tp t="s">
        <v>#N/A N/A</v>
        <stp/>
        <stp>BDH|8543568521842864658</stp>
        <tr r="I9" s="2"/>
      </tp>
      <tp t="s">
        <v>#N/A N/A</v>
        <stp/>
        <stp>BDH|2722854437057121568</stp>
        <tr r="F16" s="2"/>
      </tp>
      <tp t="s">
        <v>#N/A N/A</v>
        <stp/>
        <stp>BDH|6644805208833960642</stp>
        <tr r="H13" s="2"/>
      </tp>
      <tp t="s">
        <v>#N/A N/A</v>
        <stp/>
        <stp>BDH|8260963494221048215</stp>
        <tr r="G23" s="2"/>
      </tp>
      <tp t="s">
        <v>#N/A N/A</v>
        <stp/>
        <stp>BDH|9815496263303471307</stp>
        <tr r="G7" s="2"/>
      </tp>
      <tp t="s">
        <v>#N/A N/A</v>
        <stp/>
        <stp>BDH|8322129670891761402</stp>
        <tr r="F24" s="2"/>
      </tp>
      <tp t="s">
        <v>#N/A N/A</v>
        <stp/>
        <stp>BDH|9717826409897332218</stp>
        <tr r="G21" s="2"/>
      </tp>
      <tp t="s">
        <v>#N/A N/A</v>
        <stp/>
        <stp>BDH|4968094743335059134</stp>
        <tr r="I16" s="2"/>
      </tp>
      <tp t="s">
        <v>#N/A N/A</v>
        <stp/>
        <stp>BDH|3191375230453418458</stp>
        <tr r="D6" s="2"/>
      </tp>
      <tp t="s">
        <v>#N/A N/A</v>
        <stp/>
        <stp>BDH|1894126613275408144</stp>
        <tr r="H9" s="2"/>
      </tp>
      <tp t="s">
        <v>#N/A N/A</v>
        <stp/>
        <stp>BDH|1933727730464242492</stp>
        <tr r="H20" s="2"/>
      </tp>
      <tp t="s">
        <v>#N/A N/A</v>
        <stp/>
        <stp>BDH|1186759447523724425</stp>
        <tr r="F18" s="2"/>
      </tp>
      <tp t="s">
        <v>#N/A N/A</v>
        <stp/>
        <stp>BDH|9445851518291969478</stp>
        <tr r="E10" s="2"/>
      </tp>
      <tp t="s">
        <v>#N/A N/A</v>
        <stp/>
        <stp>BDH|6276978184147094690</stp>
        <tr r="G25" s="2"/>
      </tp>
      <tp t="s">
        <v>#N/A N/A</v>
        <stp/>
        <stp>BDH|1015022928905840013</stp>
        <tr r="C14" s="2"/>
      </tp>
      <tp t="s">
        <v>#N/A N/A</v>
        <stp/>
        <stp>BDH|5380831675884748870</stp>
        <tr r="G14" s="2"/>
      </tp>
      <tp t="s">
        <v>#N/A N/A</v>
        <stp/>
        <stp>BDH|5553299150820073523</stp>
        <tr r="C24" s="2"/>
      </tp>
      <tp t="s">
        <v>#N/A N/A</v>
        <stp/>
        <stp>BDH|7917381249881322691</stp>
        <tr r="I25" s="2"/>
      </tp>
      <tp t="s">
        <v>#N/A N/A</v>
        <stp/>
        <stp>BDH|3098946004108303513</stp>
        <tr r="E25" s="2"/>
      </tp>
      <tp t="s">
        <v>#N/A N/A</v>
        <stp/>
        <stp>BDH|7242040521391003362</stp>
        <tr r="D25" s="2"/>
      </tp>
      <tp t="s">
        <v>#N/A N/A</v>
        <stp/>
        <stp>BDH|2035997093960541592</stp>
        <tr r="F25" s="2"/>
      </tp>
      <tp t="s">
        <v>#N/A N/A</v>
        <stp/>
        <stp>BDH|3442595888119474062</stp>
        <tr r="H14" s="2"/>
      </tp>
      <tp t="s">
        <v>#N/A N/A</v>
        <stp/>
        <stp>BDH|5935693150518710935</stp>
        <tr r="G13" s="2"/>
      </tp>
      <tp t="s">
        <v>#N/A N/A</v>
        <stp/>
        <stp>BDH|5027605350114151548</stp>
        <tr r="C8" s="2"/>
      </tp>
      <tp t="s">
        <v>#N/A N/A</v>
        <stp/>
        <stp>BDH|6349185139132196610</stp>
        <tr r="D13" s="2"/>
      </tp>
      <tp t="s">
        <v>#N/A N/A</v>
        <stp/>
        <stp>BDH|5786645210924105618</stp>
        <tr r="E24" s="2"/>
      </tp>
      <tp t="s">
        <v>#N/A N/A</v>
        <stp/>
        <stp>BDH|4905348675802110297</stp>
        <tr r="F13" s="2"/>
      </tp>
      <tp t="s">
        <v>#N/A N/A</v>
        <stp/>
        <stp>BDH|5572397382809868717</stp>
        <tr r="H23" s="2"/>
      </tp>
      <tp t="s">
        <v>#N/A N/A</v>
        <stp/>
        <stp>BDH|5405050057785128520</stp>
        <tr r="I14" s="2"/>
      </tp>
      <tp t="s">
        <v>#N/A N/A</v>
        <stp/>
        <stp>BDH|6090255700614213022</stp>
        <tr r="G18" s="2"/>
      </tp>
      <tp t="s">
        <v>#N/A N/A</v>
        <stp/>
        <stp>BDH|2660113106883435006</stp>
        <tr r="E8" s="2"/>
      </tp>
      <tp t="s">
        <v>#N/A N/A</v>
        <stp/>
        <stp>BDH|9251127890757804738</stp>
        <tr r="F6" s="2"/>
      </tp>
      <tp t="s">
        <v>#N/A N/A</v>
        <stp/>
        <stp>BDH|2889339043390876492</stp>
        <tr r="H7" s="2"/>
      </tp>
      <tp t="s">
        <v>#N/A N/A</v>
        <stp/>
        <stp>BDH|3818583519692247469</stp>
        <tr r="H24" s="2"/>
      </tp>
      <tp t="s">
        <v>#N/A N/A</v>
        <stp/>
        <stp>BDH|7002022351524130754</stp>
        <tr r="I13" s="2"/>
      </tp>
      <tp t="s">
        <v>#N/A N/A</v>
        <stp/>
        <stp>BDH|7024937125109479455</stp>
        <tr r="C25" s="2"/>
      </tp>
      <tp t="s">
        <v>#N/A N/A</v>
        <stp/>
        <stp>BDH|7017779368877653336</stp>
        <tr r="I12" s="2"/>
      </tp>
      <tp t="s">
        <v>#N/A N/A</v>
        <stp/>
        <stp>BDH|2121455860080877272</stp>
        <tr r="C7" s="2"/>
      </tp>
      <tp t="s">
        <v>#N/A N/A</v>
        <stp/>
        <stp>BDH|7724801856421241954</stp>
        <tr r="G8" s="2"/>
      </tp>
      <tp t="s">
        <v>#N/A N/A</v>
        <stp/>
        <stp>BDH|3227430936964859320</stp>
        <tr r="D7" s="2"/>
      </tp>
      <tp t="s">
        <v>#N/A N/A</v>
        <stp/>
        <stp>BDH|3540622092797582801</stp>
        <tr r="E14" s="2"/>
      </tp>
      <tp t="s">
        <v>#N/A N/A</v>
        <stp/>
        <stp>BDH|839338321817086529</stp>
        <tr r="G24" s="2"/>
      </tp>
      <tp t="s">
        <v>#N/A N/A</v>
        <stp/>
        <stp>BDH|116902697478988546</stp>
        <tr r="I8" s="2"/>
      </tp>
      <tp t="s">
        <v>#N/A N/A</v>
        <stp/>
        <stp>BDH|715286009559668779</stp>
        <tr r="E21" s="2"/>
      </tp>
      <tp t="s">
        <v>#N/A N/A</v>
        <stp/>
        <stp>BDH|552982835750132585</stp>
        <tr r="D24" s="2"/>
      </tp>
      <tp t="s">
        <v>#N/A N/A</v>
        <stp/>
        <stp>BDH|754833138067282724</stp>
        <tr r="C6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/>
  </sheetViews>
  <sheetFormatPr defaultRowHeight="14.5" x14ac:dyDescent="0.35"/>
  <cols>
    <col min="1" max="1" width="23.6328125" customWidth="1"/>
    <col min="2" max="2" width="0" hidden="1" customWidth="1"/>
    <col min="3" max="12" width="11.81640625" customWidth="1"/>
  </cols>
  <sheetData>
    <row r="1" spans="1:1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x14ac:dyDescent="0.3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5">
      <c r="A4" s="3" t="s">
        <v>2</v>
      </c>
      <c r="B4" s="3"/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5">
      <c r="A5" s="9" t="s">
        <v>13</v>
      </c>
      <c r="B5" s="9"/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</row>
    <row r="6" spans="1:12" x14ac:dyDescent="0.35">
      <c r="A6" s="6" t="s">
        <v>24</v>
      </c>
      <c r="B6" s="6" t="s">
        <v>25</v>
      </c>
      <c r="C6" s="15">
        <f>_xll.BDH("IOCL IN Equity","HISTORICAL_MARKET_CAP","FY 2019","FY 2019","Currency=INR","Period=FY","BEST_FPERIOD_OVERRIDE=FY","FILING_STATUS=MR","EQY_CONSOLIDATED=Y","SCALING_FORMAT=MLN","Sort=A","Dates=H","DateFormat=P","Fill=—","Direction=H","UseDPDF=Y")</f>
        <v>1533095.7804</v>
      </c>
      <c r="D6" s="15">
        <f>_xll.BDH("IOCL IN Equity","HISTORICAL_MARKET_CAP","FY 2020","FY 2020","Currency=INR","Period=FY","BEST_FPERIOD_OVERRIDE=FY","FILING_STATUS=MR","EQY_CONSOLIDATED=Y","SCALING_FORMAT=MLN","Sort=A","Dates=H","DateFormat=P","Fill=—","Direction=H","UseDPDF=Y")</f>
        <v>768666.076</v>
      </c>
      <c r="E6" s="15">
        <f>_xll.BDH("IOCL IN Equity","HISTORICAL_MARKET_CAP","FY 2021","FY 2021","Currency=INR","Period=FY","BEST_FPERIOD_OVERRIDE=FY","FILING_STATUS=MR","EQY_CONSOLIDATED=Y","SCALING_FORMAT=MLN","Sort=A","Dates=H","DateFormat=P","Fill=—","Direction=H","UseDPDF=Y")</f>
        <v>864690.49699999997</v>
      </c>
      <c r="F6" s="15">
        <f>_xll.BDH("IOCL IN Equity","HISTORICAL_MARKET_CAP","FY 2022","FY 2022","Currency=INR","Period=FY","BEST_FPERIOD_OVERRIDE=FY","FILING_STATUS=MR","EQY_CONSOLIDATED=Y","SCALING_FORMAT=MLN","Sort=A","Dates=H","DateFormat=P","Fill=—","Direction=H","UseDPDF=Y")</f>
        <v>1119814.2038</v>
      </c>
      <c r="G6" s="15">
        <f>_xll.BDH("IOCL IN Equity","HISTORICAL_MARKET_CAP","FY 2023","FY 2023","Currency=INR","Period=FY","BEST_FPERIOD_OVERRIDE=FY","FILING_STATUS=MR","EQY_CONSOLIDATED=Y","SCALING_FORMAT=MLN","Sort=A","Dates=H","DateFormat=P","Fill=—","Direction=H","UseDPDF=Y")</f>
        <v>1100044.47</v>
      </c>
      <c r="H6" s="15">
        <f>_xll.BDH("IOCL IN Equity","HISTORICAL_MARKET_CAP","FY 2024","FY 2024","Currency=INR","Period=FY","BEST_FPERIOD_OVERRIDE=FY","FILING_STATUS=MR","EQY_CONSOLIDATED=Y","SCALING_FORMAT=MLN","Sort=A","Dates=H","DateFormat=P","Fill=—","Direction=H","UseDPDF=Y")</f>
        <v>2368837.7387000001</v>
      </c>
      <c r="I6" s="15">
        <f>_xll.BDH("IOCL IN Equity","HISTORICAL_MARKET_CAP","FY 2025","FY 2025","Currency=INR","Period=FY","BEST_FPERIOD_OVERRIDE=FY","FILING_STATUS=MR","EQY_CONSOLIDATED=Y","SCALING_FORMAT=MLN","Sort=A","Dates=H","DateFormat=P","Fill=—","Direction=H","UseDPDF=Y")</f>
        <v>1758628.2120000001</v>
      </c>
      <c r="J6" s="18">
        <v>2033317.1147681701</v>
      </c>
      <c r="K6" s="15"/>
      <c r="L6" s="15"/>
    </row>
    <row r="7" spans="1:12" x14ac:dyDescent="0.35">
      <c r="A7" s="10" t="s">
        <v>26</v>
      </c>
      <c r="B7" s="10" t="s">
        <v>27</v>
      </c>
      <c r="C7" s="12">
        <f>_xll.BDH("IOCL IN Equity","CASH_AND_MARKETABLE_SECURITIES","FY 2019","FY 2019","Currency=INR","Period=FY","BEST_FPERIOD_OVERRIDE=FY","FILING_STATUS=MR","EQY_CONSOLIDATED=Y","SCALING_FORMAT=MLN","Sort=A","Dates=H","DateFormat=P","Fill=—","Direction=H","UseDPDF=Y")</f>
        <v>95355.8</v>
      </c>
      <c r="D7" s="12">
        <f>_xll.BDH("IOCL IN Equity","CASH_AND_MARKETABLE_SECURITIES","FY 2020","FY 2020","Currency=INR","Period=FY","BEST_FPERIOD_OVERRIDE=FY","FILING_STATUS=MR","EQY_CONSOLIDATED=Y","SCALING_FORMAT=MLN","Sort=A","Dates=H","DateFormat=P","Fill=—","Direction=H","UseDPDF=Y")</f>
        <v>105388.5</v>
      </c>
      <c r="E7" s="12">
        <f>_xll.BDH("IOCL IN Equity","CASH_AND_MARKETABLE_SECURITIES","FY 2021","FY 2021","Currency=INR","Period=FY","BEST_FPERIOD_OVERRIDE=FY","FILING_STATUS=MR","EQY_CONSOLIDATED=Y","SCALING_FORMAT=MLN","Sort=A","Dates=H","DateFormat=P","Fill=—","Direction=H","UseDPDF=Y")</f>
        <v>104126.7</v>
      </c>
      <c r="F7" s="12">
        <f>_xll.BDH("IOCL IN Equity","CASH_AND_MARKETABLE_SECURITIES","FY 2022","FY 2022","Currency=INR","Period=FY","BEST_FPERIOD_OVERRIDE=FY","FILING_STATUS=MR","EQY_CONSOLIDATED=Y","SCALING_FORMAT=MLN","Sort=A","Dates=H","DateFormat=P","Fill=—","Direction=H","UseDPDF=Y")</f>
        <v>96797.1</v>
      </c>
      <c r="G7" s="12">
        <f>_xll.BDH("IOCL IN Equity","CASH_AND_MARKETABLE_SECURITIES","FY 2023","FY 2023","Currency=INR","Period=FY","BEST_FPERIOD_OVERRIDE=FY","FILING_STATUS=MR","EQY_CONSOLIDATED=Y","SCALING_FORMAT=MLN","Sort=A","Dates=H","DateFormat=P","Fill=—","Direction=H","UseDPDF=Y")</f>
        <v>121296.7</v>
      </c>
      <c r="H7" s="12">
        <f>_xll.BDH("IOCL IN Equity","CASH_AND_MARKETABLE_SECURITIES","FY 2024","FY 2024","Currency=INR","Period=FY","BEST_FPERIOD_OVERRIDE=FY","FILING_STATUS=MR","EQY_CONSOLIDATED=Y","SCALING_FORMAT=MLN","Sort=A","Dates=H","DateFormat=P","Fill=—","Direction=H","UseDPDF=Y")</f>
        <v>131288.20000000001</v>
      </c>
      <c r="I7" s="12">
        <f>_xll.BDH("IOCL IN Equity","CASH_AND_MARKETABLE_SECURITIES","FY 2025","FY 2025","Currency=INR","Period=FY","BEST_FPERIOD_OVERRIDE=FY","FILING_STATUS=MR","EQY_CONSOLIDATED=Y","SCALING_FORMAT=MLN","Sort=A","Dates=H","DateFormat=P","Fill=—","Direction=H","UseDPDF=Y")</f>
        <v>136738.5</v>
      </c>
      <c r="J7" s="13">
        <v>136738.5</v>
      </c>
      <c r="K7" s="12"/>
      <c r="L7" s="12"/>
    </row>
    <row r="8" spans="1:12" x14ac:dyDescent="0.35">
      <c r="A8" s="10" t="s">
        <v>28</v>
      </c>
      <c r="B8" s="10" t="s">
        <v>29</v>
      </c>
      <c r="C8" s="12">
        <f>_xll.BDH("IOCL IN Equity","PFD_EQTY_MINORTY_INTEREST","FY 2019","FY 2019","Currency=INR","Period=FY","BEST_FPERIOD_OVERRIDE=FY","FILING_STATUS=MR","EQY_CONSOLIDATED=Y","SCALING_FORMAT=MLN","Sort=A","Dates=H","DateFormat=P","Fill=—","Direction=H","UseDPDF=Y")</f>
        <v>18773.599999999999</v>
      </c>
      <c r="D8" s="12">
        <f>_xll.BDH("IOCL IN Equity","PFD_EQTY_MINORTY_INTEREST","FY 2020","FY 2020","Currency=INR","Period=FY","BEST_FPERIOD_OVERRIDE=FY","FILING_STATUS=MR","EQY_CONSOLIDATED=Y","SCALING_FORMAT=MLN","Sort=A","Dates=H","DateFormat=P","Fill=—","Direction=H","UseDPDF=Y")</f>
        <v>8762.7000000000007</v>
      </c>
      <c r="E8" s="12">
        <f>_xll.BDH("IOCL IN Equity","PFD_EQTY_MINORTY_INTEREST","FY 2021","FY 2021","Currency=INR","Period=FY","BEST_FPERIOD_OVERRIDE=FY","FILING_STATUS=MR","EQY_CONSOLIDATED=Y","SCALING_FORMAT=MLN","Sort=A","Dates=H","DateFormat=P","Fill=—","Direction=H","UseDPDF=Y")</f>
        <v>9759.4</v>
      </c>
      <c r="F8" s="12">
        <f>_xll.BDH("IOCL IN Equity","PFD_EQTY_MINORTY_INTEREST","FY 2022","FY 2022","Currency=INR","Period=FY","BEST_FPERIOD_OVERRIDE=FY","FILING_STATUS=MR","EQY_CONSOLIDATED=Y","SCALING_FORMAT=MLN","Sort=A","Dates=H","DateFormat=P","Fill=—","Direction=H","UseDPDF=Y")</f>
        <v>15914.7</v>
      </c>
      <c r="G8" s="12">
        <f>_xll.BDH("IOCL IN Equity","PFD_EQTY_MINORTY_INTEREST","FY 2023","FY 2023","Currency=INR","Period=FY","BEST_FPERIOD_OVERRIDE=FY","FILING_STATUS=MR","EQY_CONSOLIDATED=Y","SCALING_FORMAT=MLN","Sort=A","Dates=H","DateFormat=P","Fill=—","Direction=H","UseDPDF=Y")</f>
        <v>34941</v>
      </c>
      <c r="H8" s="12">
        <f>_xll.BDH("IOCL IN Equity","PFD_EQTY_MINORTY_INTEREST","FY 2024","FY 2024","Currency=INR","Period=FY","BEST_FPERIOD_OVERRIDE=FY","FILING_STATUS=MR","EQY_CONSOLIDATED=Y","SCALING_FORMAT=MLN","Sort=A","Dates=H","DateFormat=P","Fill=—","Direction=H","UseDPDF=Y")</f>
        <v>47467.1</v>
      </c>
      <c r="I8" s="12">
        <f>_xll.BDH("IOCL IN Equity","PFD_EQTY_MINORTY_INTEREST","FY 2025","FY 2025","Currency=INR","Period=FY","BEST_FPERIOD_OVERRIDE=FY","FILING_STATUS=MR","EQY_CONSOLIDATED=Y","SCALING_FORMAT=MLN","Sort=A","Dates=H","DateFormat=P","Fill=—","Direction=H","UseDPDF=Y")</f>
        <v>45373.4</v>
      </c>
      <c r="J8" s="13">
        <v>45373.4</v>
      </c>
      <c r="K8" s="12"/>
      <c r="L8" s="12"/>
    </row>
    <row r="9" spans="1:12" x14ac:dyDescent="0.35">
      <c r="A9" s="10" t="s">
        <v>30</v>
      </c>
      <c r="B9" s="10" t="s">
        <v>31</v>
      </c>
      <c r="C9" s="12">
        <f>_xll.BDH("IOCL IN Equity","SHORT_AND_LONG_TERM_DEBT","FY 2019","FY 2019","Currency=INR","Period=FY","BEST_FPERIOD_OVERRIDE=FY","FILING_STATUS=MR","EQY_CONSOLIDATED=Y","SCALING_FORMAT=MLN","Sort=A","Dates=H","DateFormat=P","Fill=—","Direction=H","UseDPDF=Y")</f>
        <v>967650.4</v>
      </c>
      <c r="D9" s="12">
        <f>_xll.BDH("IOCL IN Equity","SHORT_AND_LONG_TERM_DEBT","FY 2020","FY 2020","Currency=INR","Period=FY","BEST_FPERIOD_OVERRIDE=FY","FILING_STATUS=MR","EQY_CONSOLIDATED=Y","SCALING_FORMAT=MLN","Sort=A","Dates=H","DateFormat=P","Fill=—","Direction=H","UseDPDF=Y")</f>
        <v>1297903.3</v>
      </c>
      <c r="E9" s="12">
        <f>_xll.BDH("IOCL IN Equity","SHORT_AND_LONG_TERM_DEBT","FY 2021","FY 2021","Currency=INR","Period=FY","BEST_FPERIOD_OVERRIDE=FY","FILING_STATUS=MR","EQY_CONSOLIDATED=Y","SCALING_FORMAT=MLN","Sort=A","Dates=H","DateFormat=P","Fill=—","Direction=H","UseDPDF=Y")</f>
        <v>1162873.1000000001</v>
      </c>
      <c r="F9" s="12">
        <f>_xll.BDH("IOCL IN Equity","SHORT_AND_LONG_TERM_DEBT","FY 2022","FY 2022","Currency=INR","Period=FY","BEST_FPERIOD_OVERRIDE=FY","FILING_STATUS=MR","EQY_CONSOLIDATED=Y","SCALING_FORMAT=MLN","Sort=A","Dates=H","DateFormat=P","Fill=—","Direction=H","UseDPDF=Y")</f>
        <v>1320195.8999999999</v>
      </c>
      <c r="G9" s="12">
        <f>_xll.BDH("IOCL IN Equity","SHORT_AND_LONG_TERM_DEBT","FY 2023","FY 2023","Currency=INR","Period=FY","BEST_FPERIOD_OVERRIDE=FY","FILING_STATUS=MR","EQY_CONSOLIDATED=Y","SCALING_FORMAT=MLN","Sort=A","Dates=H","DateFormat=P","Fill=—","Direction=H","UseDPDF=Y")</f>
        <v>1489770.8</v>
      </c>
      <c r="H9" s="12">
        <f>_xll.BDH("IOCL IN Equity","SHORT_AND_LONG_TERM_DEBT","FY 2024","FY 2024","Currency=INR","Period=FY","BEST_FPERIOD_OVERRIDE=FY","FILING_STATUS=MR","EQY_CONSOLIDATED=Y","SCALING_FORMAT=MLN","Sort=A","Dates=H","DateFormat=P","Fill=—","Direction=H","UseDPDF=Y")</f>
        <v>1326275.6000000001</v>
      </c>
      <c r="I9" s="12">
        <f>_xll.BDH("IOCL IN Equity","SHORT_AND_LONG_TERM_DEBT","FY 2025","FY 2025","Currency=INR","Period=FY","BEST_FPERIOD_OVERRIDE=FY","FILING_STATUS=MR","EQY_CONSOLIDATED=Y","SCALING_FORMAT=MLN","Sort=A","Dates=H","DateFormat=P","Fill=—","Direction=H","UseDPDF=Y")</f>
        <v>1522705.6</v>
      </c>
      <c r="J9" s="13">
        <v>1522705.6</v>
      </c>
      <c r="K9" s="12"/>
      <c r="L9" s="12"/>
    </row>
    <row r="10" spans="1:12" x14ac:dyDescent="0.35">
      <c r="A10" s="6" t="s">
        <v>32</v>
      </c>
      <c r="B10" s="6" t="s">
        <v>33</v>
      </c>
      <c r="C10" s="15">
        <f>_xll.BDH("IOCL IN Equity","ENTERPRISE_VALUE","FY 2019","FY 2019","Currency=INR","Period=FY","BEST_FPERIOD_OVERRIDE=FY","FILING_STATUS=MR","EQY_CONSOLIDATED=Y","SCALING_FORMAT=MLN","Sort=A","Dates=H","DateFormat=P","Fill=—","Direction=H","UseDPDF=Y")</f>
        <v>2424163.9803999998</v>
      </c>
      <c r="D10" s="15">
        <f>_xll.BDH("IOCL IN Equity","ENTERPRISE_VALUE","FY 2020","FY 2020","Currency=INR","Period=FY","BEST_FPERIOD_OVERRIDE=FY","FILING_STATUS=MR","EQY_CONSOLIDATED=Y","SCALING_FORMAT=MLN","Sort=A","Dates=H","DateFormat=P","Fill=—","Direction=H","UseDPDF=Y")</f>
        <v>1969943.5759999999</v>
      </c>
      <c r="E10" s="15">
        <f>_xll.BDH("IOCL IN Equity","ENTERPRISE_VALUE","FY 2021","FY 2021","Currency=INR","Period=FY","BEST_FPERIOD_OVERRIDE=FY","FILING_STATUS=MR","EQY_CONSOLIDATED=Y","SCALING_FORMAT=MLN","Sort=A","Dates=H","DateFormat=P","Fill=—","Direction=H","UseDPDF=Y")</f>
        <v>1933196.297</v>
      </c>
      <c r="F10" s="15">
        <f>_xll.BDH("IOCL IN Equity","ENTERPRISE_VALUE","FY 2022","FY 2022","Currency=INR","Period=FY","BEST_FPERIOD_OVERRIDE=FY","FILING_STATUS=MR","EQY_CONSOLIDATED=Y","SCALING_FORMAT=MLN","Sort=A","Dates=H","DateFormat=P","Fill=—","Direction=H","UseDPDF=Y")</f>
        <v>2359127.7037999998</v>
      </c>
      <c r="G10" s="15">
        <f>_xll.BDH("IOCL IN Equity","ENTERPRISE_VALUE","FY 2023","FY 2023","Currency=INR","Period=FY","BEST_FPERIOD_OVERRIDE=FY","FILING_STATUS=MR","EQY_CONSOLIDATED=Y","SCALING_FORMAT=MLN","Sort=A","Dates=H","DateFormat=P","Fill=—","Direction=H","UseDPDF=Y")</f>
        <v>2503459.5699999998</v>
      </c>
      <c r="H10" s="15">
        <f>_xll.BDH("IOCL IN Equity","ENTERPRISE_VALUE","FY 2024","FY 2024","Currency=INR","Period=FY","BEST_FPERIOD_OVERRIDE=FY","FILING_STATUS=MR","EQY_CONSOLIDATED=Y","SCALING_FORMAT=MLN","Sort=A","Dates=H","DateFormat=P","Fill=—","Direction=H","UseDPDF=Y")</f>
        <v>3611292.2387000001</v>
      </c>
      <c r="I10" s="15">
        <f>_xll.BDH("IOCL IN Equity","ENTERPRISE_VALUE","FY 2025","FY 2025","Currency=INR","Period=FY","BEST_FPERIOD_OVERRIDE=FY","FILING_STATUS=MR","EQY_CONSOLIDATED=Y","SCALING_FORMAT=MLN","Sort=A","Dates=H","DateFormat=P","Fill=—","Direction=H","UseDPDF=Y")</f>
        <v>3189968.7119999998</v>
      </c>
      <c r="J10" s="18">
        <v>3464657.6147681698</v>
      </c>
      <c r="K10" s="15"/>
      <c r="L10" s="15"/>
    </row>
    <row r="11" spans="1:12" x14ac:dyDescent="0.35">
      <c r="A11" s="6"/>
      <c r="B11" s="14"/>
      <c r="C11" s="14"/>
      <c r="D11" s="14"/>
      <c r="E11" s="14"/>
      <c r="F11" s="14"/>
      <c r="G11" s="14"/>
      <c r="H11" s="14"/>
      <c r="I11" s="14"/>
      <c r="J11" s="17"/>
      <c r="K11" s="14"/>
      <c r="L11" s="14"/>
    </row>
    <row r="12" spans="1:12" x14ac:dyDescent="0.35">
      <c r="A12" s="6" t="s">
        <v>34</v>
      </c>
      <c r="B12" s="6" t="s">
        <v>35</v>
      </c>
      <c r="C12" s="15">
        <f>_xll.BDH("IOCL IN Equity","SALES_REV_TURN","FY 2019","FY 2019","Currency=INR","Period=FY","BEST_FPERIOD_OVERRIDE=FY","FILING_STATUS=MR","EQY_CONSOLIDATED=Y","SCALING_FORMAT=MLN","FA_ADJUSTED=Adjusted","Sort=A","Dates=H","DateFormat=P","Fill=—","Direction=H","UseDPDF=Y")</f>
        <v>5281575</v>
      </c>
      <c r="D12" s="15">
        <f>_xll.BDH("IOCL IN Equity","SALES_REV_TURN","FY 2020","FY 2020","Currency=INR","Period=FY","BEST_FPERIOD_OVERRIDE=FY","FILING_STATUS=MR","EQY_CONSOLIDATED=Y","SCALING_FORMAT=MLN","FA_ADJUSTED=Adjusted","Sort=A","Dates=H","DateFormat=P","Fill=—","Direction=H","UseDPDF=Y")</f>
        <v>4837630.3</v>
      </c>
      <c r="E12" s="15">
        <f>_xll.BDH("IOCL IN Equity","SALES_REV_TURN","FY 2021","FY 2021","Currency=INR","Period=FY","BEST_FPERIOD_OVERRIDE=FY","FILING_STATUS=MR","EQY_CONSOLIDATED=Y","SCALING_FORMAT=MLN","FA_ADJUSTED=Adjusted","Sort=A","Dates=H","DateFormat=P","Fill=—","Direction=H","UseDPDF=Y")</f>
        <v>3639496.7</v>
      </c>
      <c r="F12" s="15">
        <f>_xll.BDH("IOCL IN Equity","SALES_REV_TURN","FY 2022","FY 2022","Currency=INR","Period=FY","BEST_FPERIOD_OVERRIDE=FY","FILING_STATUS=MR","EQY_CONSOLIDATED=Y","SCALING_FORMAT=MLN","FA_ADJUSTED=Adjusted","Sort=A","Dates=H","DateFormat=P","Fill=—","Direction=H","UseDPDF=Y")</f>
        <v>5893357.4000000004</v>
      </c>
      <c r="G12" s="15">
        <f>_xll.BDH("IOCL IN Equity","SALES_REV_TURN","FY 2023","FY 2023","Currency=INR","Period=FY","BEST_FPERIOD_OVERRIDE=FY","FILING_STATUS=MR","EQY_CONSOLIDATED=Y","SCALING_FORMAT=MLN","FA_ADJUSTED=Adjusted","Sort=A","Dates=H","DateFormat=P","Fill=—","Direction=H","UseDPDF=Y")</f>
        <v>8417559.0999999996</v>
      </c>
      <c r="H12" s="15">
        <f>_xll.BDH("IOCL IN Equity","SALES_REV_TURN","FY 2024","FY 2024","Currency=INR","Period=FY","BEST_FPERIOD_OVERRIDE=FY","FILING_STATUS=MR","EQY_CONSOLIDATED=Y","SCALING_FORMAT=MLN","FA_ADJUSTED=Adjusted","Sort=A","Dates=H","DateFormat=P","Fill=—","Direction=H","UseDPDF=Y")</f>
        <v>7763518.5</v>
      </c>
      <c r="I12" s="15">
        <f>_xll.BDH("IOCL IN Equity","SALES_REV_TURN","FY 2025","FY 2025","Currency=INR","Period=FY","BEST_FPERIOD_OVERRIDE=FY","FILING_STATUS=MR","EQY_CONSOLIDATED=Y","SCALING_FORMAT=MLN","FA_ADJUSTED=Adjusted","Sort=A","Dates=H","DateFormat=P","Fill=—","Direction=H","UseDPDF=Y")</f>
        <v>7581058.0999999996</v>
      </c>
      <c r="J12" s="18">
        <v>7566015.5</v>
      </c>
      <c r="K12" s="15">
        <v>7195344</v>
      </c>
      <c r="L12" s="15">
        <v>7556799.3600000003</v>
      </c>
    </row>
    <row r="13" spans="1:12" x14ac:dyDescent="0.35">
      <c r="A13" s="11" t="s">
        <v>36</v>
      </c>
      <c r="B13" s="11" t="s">
        <v>37</v>
      </c>
      <c r="C13" s="20">
        <f>_xll.BDH("IOCL IN Equity","SALES_GROWTH","FY 2019","FY 2019","Currency=INR","Period=FY","BEST_FPERIOD_OVERRIDE=FY","FILING_STATUS=MR","EQY_CONSOLIDATED=Y","FA_ADJUSTED=Adjusted","Sort=A","Dates=H","DateFormat=P","Fill=—","Direction=H","UseDPDF=Y")</f>
        <v>25.306699999999999</v>
      </c>
      <c r="D13" s="20">
        <f>_xll.BDH("IOCL IN Equity","SALES_GROWTH","FY 2020","FY 2020","Currency=INR","Period=FY","BEST_FPERIOD_OVERRIDE=FY","FILING_STATUS=MR","EQY_CONSOLIDATED=Y","FA_ADJUSTED=Adjusted","Sort=A","Dates=H","DateFormat=P","Fill=—","Direction=H","UseDPDF=Y")</f>
        <v>-8.4055</v>
      </c>
      <c r="E13" s="20">
        <f>_xll.BDH("IOCL IN Equity","SALES_GROWTH","FY 2021","FY 2021","Currency=INR","Period=FY","BEST_FPERIOD_OVERRIDE=FY","FILING_STATUS=MR","EQY_CONSOLIDATED=Y","FA_ADJUSTED=Adjusted","Sort=A","Dates=H","DateFormat=P","Fill=—","Direction=H","UseDPDF=Y")</f>
        <v>-24.766999999999999</v>
      </c>
      <c r="F13" s="20">
        <f>_xll.BDH("IOCL IN Equity","SALES_GROWTH","FY 2022","FY 2022","Currency=INR","Period=FY","BEST_FPERIOD_OVERRIDE=FY","FILING_STATUS=MR","EQY_CONSOLIDATED=Y","FA_ADJUSTED=Adjusted","Sort=A","Dates=H","DateFormat=P","Fill=—","Direction=H","UseDPDF=Y")</f>
        <v>61.927799999999998</v>
      </c>
      <c r="G13" s="20">
        <f>_xll.BDH("IOCL IN Equity","SALES_GROWTH","FY 2023","FY 2023","Currency=INR","Period=FY","BEST_FPERIOD_OVERRIDE=FY","FILING_STATUS=MR","EQY_CONSOLIDATED=Y","FA_ADJUSTED=Adjusted","Sort=A","Dates=H","DateFormat=P","Fill=—","Direction=H","UseDPDF=Y")</f>
        <v>42.831299999999999</v>
      </c>
      <c r="H13" s="20">
        <f>_xll.BDH("IOCL IN Equity","SALES_GROWTH","FY 2024","FY 2024","Currency=INR","Period=FY","BEST_FPERIOD_OVERRIDE=FY","FILING_STATUS=MR","EQY_CONSOLIDATED=Y","FA_ADJUSTED=Adjusted","Sort=A","Dates=H","DateFormat=P","Fill=—","Direction=H","UseDPDF=Y")</f>
        <v>-7.77</v>
      </c>
      <c r="I13" s="20">
        <f>_xll.BDH("IOCL IN Equity","SALES_GROWTH","FY 2025","FY 2025","Currency=INR","Period=FY","BEST_FPERIOD_OVERRIDE=FY","FILING_STATUS=MR","EQY_CONSOLIDATED=Y","FA_ADJUSTED=Adjusted","Sort=A","Dates=H","DateFormat=P","Fill=—","Direction=H","UseDPDF=Y")</f>
        <v>-2.3502000000000001</v>
      </c>
      <c r="J13" s="22">
        <v>-1.94965569639</v>
      </c>
      <c r="K13" s="20">
        <v>-5.0878662966585102</v>
      </c>
      <c r="L13" s="20">
        <v>5.0234618386556704</v>
      </c>
    </row>
    <row r="14" spans="1:12" x14ac:dyDescent="0.35">
      <c r="A14" s="6" t="s">
        <v>38</v>
      </c>
      <c r="B14" s="6" t="s">
        <v>39</v>
      </c>
      <c r="C14" s="15" t="str">
        <f>_xll.BDH("IOCL IN Equity","GROSS_PROFIT","FY 2019","FY 2019","Currency=INR","Period=FY","BEST_FPERIOD_OVERRIDE=FY","FILING_STATUS=MR","EQY_CONSOLIDATED=Y","SCALING_FORMAT=MLN","FA_ADJUSTED=Adjusted","Sort=A","Dates=H","DateFormat=P","Fill=—","Direction=H","UseDPDF=Y")</f>
        <v>—</v>
      </c>
      <c r="D14" s="15" t="str">
        <f>_xll.BDH("IOCL IN Equity","GROSS_PROFIT","FY 2020","FY 2020","Currency=INR","Period=FY","BEST_FPERIOD_OVERRIDE=FY","FILING_STATUS=MR","EQY_CONSOLIDATED=Y","SCALING_FORMAT=MLN","FA_ADJUSTED=Adjusted","Sort=A","Dates=H","DateFormat=P","Fill=—","Direction=H","UseDPDF=Y")</f>
        <v>—</v>
      </c>
      <c r="E14" s="15" t="str">
        <f>_xll.BDH("IOCL IN Equity","GROSS_PROFIT","FY 2021","FY 2021","Currency=INR","Period=FY","BEST_FPERIOD_OVERRIDE=FY","FILING_STATUS=MR","EQY_CONSOLIDATED=Y","SCALING_FORMAT=MLN","FA_ADJUSTED=Adjusted","Sort=A","Dates=H","DateFormat=P","Fill=—","Direction=H","UseDPDF=Y")</f>
        <v>—</v>
      </c>
      <c r="F14" s="15" t="str">
        <f>_xll.BDH("IOCL IN Equity","GROSS_PROFIT","FY 2022","FY 2022","Currency=INR","Period=FY","BEST_FPERIOD_OVERRIDE=FY","FILING_STATUS=MR","EQY_CONSOLIDATED=Y","SCALING_FORMAT=MLN","FA_ADJUSTED=Adjusted","Sort=A","Dates=H","DateFormat=P","Fill=—","Direction=H","UseDPDF=Y")</f>
        <v>—</v>
      </c>
      <c r="G14" s="15" t="str">
        <f>_xll.BDH("IOCL IN Equity","GROSS_PROFIT","FY 2023","FY 2023","Currency=INR","Period=FY","BEST_FPERIOD_OVERRIDE=FY","FILING_STATUS=MR","EQY_CONSOLIDATED=Y","SCALING_FORMAT=MLN","FA_ADJUSTED=Adjusted","Sort=A","Dates=H","DateFormat=P","Fill=—","Direction=H","UseDPDF=Y")</f>
        <v>—</v>
      </c>
      <c r="H14" s="15" t="str">
        <f>_xll.BDH("IOCL IN Equity","GROSS_PROFIT","FY 2024","FY 2024","Currency=INR","Period=FY","BEST_FPERIOD_OVERRIDE=FY","FILING_STATUS=MR","EQY_CONSOLIDATED=Y","SCALING_FORMAT=MLN","FA_ADJUSTED=Adjusted","Sort=A","Dates=H","DateFormat=P","Fill=—","Direction=H","UseDPDF=Y")</f>
        <v>—</v>
      </c>
      <c r="I14" s="15" t="str">
        <f>_xll.BDH("IOCL IN Equity","GROSS_PROFIT","FY 2025","FY 2025","Currency=INR","Period=FY","BEST_FPERIOD_OVERRIDE=FY","FILING_STATUS=MR","EQY_CONSOLIDATED=Y","SCALING_FORMAT=MLN","FA_ADJUSTED=Adjusted","Sort=A","Dates=H","DateFormat=P","Fill=—","Direction=H","UseDPDF=Y")</f>
        <v>—</v>
      </c>
      <c r="J14" s="18"/>
      <c r="K14" s="15">
        <v>1103190.1420799999</v>
      </c>
      <c r="L14" s="15">
        <v>1206518.5858175999</v>
      </c>
    </row>
    <row r="15" spans="1:12" x14ac:dyDescent="0.35">
      <c r="A15" s="11" t="s">
        <v>40</v>
      </c>
      <c r="B15" s="11" t="s">
        <v>39</v>
      </c>
      <c r="C15" s="20" t="s">
        <v>41</v>
      </c>
      <c r="D15" s="20" t="s">
        <v>41</v>
      </c>
      <c r="E15" s="20" t="s">
        <v>41</v>
      </c>
      <c r="F15" s="20" t="s">
        <v>41</v>
      </c>
      <c r="G15" s="20" t="s">
        <v>41</v>
      </c>
      <c r="H15" s="20" t="s">
        <v>41</v>
      </c>
      <c r="I15" s="20" t="s">
        <v>41</v>
      </c>
      <c r="J15" s="22"/>
      <c r="K15" s="20">
        <v>15.332000000000001</v>
      </c>
      <c r="L15" s="20">
        <v>15.965999999999999</v>
      </c>
    </row>
    <row r="16" spans="1:12" x14ac:dyDescent="0.35">
      <c r="A16" s="6" t="s">
        <v>42</v>
      </c>
      <c r="B16" s="6" t="s">
        <v>43</v>
      </c>
      <c r="C16" s="15">
        <f>_xll.BDH("IOCL IN Equity","EBITDA","FY 2019","FY 2019","Currency=INR","Period=FY","BEST_FPERIOD_OVERRIDE=FY","FILING_STATUS=MR","EQY_CONSOLIDATED=Y","SCALING_FORMAT=MLN","FA_ADJUSTED=Adjusted","Sort=A","Dates=H","DateFormat=P","Fill=—","Direction=H","UseDPDF=Y")</f>
        <v>353955.3</v>
      </c>
      <c r="D16" s="15">
        <f>_xll.BDH("IOCL IN Equity","EBITDA","FY 2020","FY 2020","Currency=INR","Period=FY","BEST_FPERIOD_OVERRIDE=FY","FILING_STATUS=MR","EQY_CONSOLIDATED=Y","SCALING_FORMAT=MLN","FA_ADJUSTED=Adjusted","Sort=A","Dates=H","DateFormat=P","Fill=—","Direction=H","UseDPDF=Y")</f>
        <v>165291.20000000001</v>
      </c>
      <c r="E16" s="15">
        <f>_xll.BDH("IOCL IN Equity","EBITDA","FY 2021","FY 2021","Currency=INR","Period=FY","BEST_FPERIOD_OVERRIDE=FY","FILING_STATUS=MR","EQY_CONSOLIDATED=Y","SCALING_FORMAT=MLN","FA_ADJUSTED=Adjusted","Sort=A","Dates=H","DateFormat=P","Fill=—","Direction=H","UseDPDF=Y")</f>
        <v>418611.5</v>
      </c>
      <c r="F16" s="15">
        <f>_xll.BDH("IOCL IN Equity","EBITDA","FY 2022","FY 2022","Currency=INR","Period=FY","BEST_FPERIOD_OVERRIDE=FY","FILING_STATUS=MR","EQY_CONSOLIDATED=Y","SCALING_FORMAT=MLN","FA_ADJUSTED=Adjusted","Sort=A","Dates=H","DateFormat=P","Fill=—","Direction=H","UseDPDF=Y")</f>
        <v>475315.6</v>
      </c>
      <c r="G16" s="15">
        <f>_xll.BDH("IOCL IN Equity","EBITDA","FY 2023","FY 2023","Currency=INR","Period=FY","BEST_FPERIOD_OVERRIDE=FY","FILING_STATUS=MR","EQY_CONSOLIDATED=Y","SCALING_FORMAT=MLN","FA_ADJUSTED=Adjusted","Sort=A","Dates=H","DateFormat=P","Fill=—","Direction=H","UseDPDF=Y")</f>
        <v>390356.6</v>
      </c>
      <c r="H16" s="15">
        <f>_xll.BDH("IOCL IN Equity","EBITDA","FY 2024","FY 2024","Currency=INR","Period=FY","BEST_FPERIOD_OVERRIDE=FY","FILING_STATUS=MR","EQY_CONSOLIDATED=Y","SCALING_FORMAT=MLN","FA_ADJUSTED=Adjusted","Sort=A","Dates=H","DateFormat=P","Fill=—","Direction=H","UseDPDF=Y")</f>
        <v>758613.4</v>
      </c>
      <c r="I16" s="15">
        <f>_xll.BDH("IOCL IN Equity","EBITDA","FY 2025","FY 2025","Currency=INR","Period=FY","BEST_FPERIOD_OVERRIDE=FY","FILING_STATUS=MR","EQY_CONSOLIDATED=Y","SCALING_FORMAT=MLN","FA_ADJUSTED=Adjusted","Sort=A","Dates=H","DateFormat=P","Fill=—","Direction=H","UseDPDF=Y")</f>
        <v>362117.9</v>
      </c>
      <c r="J16" s="18">
        <v>392734.2</v>
      </c>
      <c r="K16" s="15">
        <v>530555.27300000004</v>
      </c>
      <c r="L16" s="15">
        <v>537558.63600000006</v>
      </c>
    </row>
    <row r="17" spans="1:12" x14ac:dyDescent="0.35">
      <c r="A17" s="11" t="s">
        <v>40</v>
      </c>
      <c r="B17" s="11" t="s">
        <v>43</v>
      </c>
      <c r="C17" s="20">
        <v>6.7016997770551399</v>
      </c>
      <c r="D17" s="20">
        <v>3.41678031907482</v>
      </c>
      <c r="E17" s="20">
        <v>11.5019062938016</v>
      </c>
      <c r="F17" s="20">
        <v>8.0652770184954292</v>
      </c>
      <c r="G17" s="20">
        <v>4.63740848579251</v>
      </c>
      <c r="H17" s="20">
        <v>9.7715153251711904</v>
      </c>
      <c r="I17" s="20">
        <v>4.77661423014289</v>
      </c>
      <c r="J17" s="22">
        <v>5.1907665269784298</v>
      </c>
      <c r="K17" s="20">
        <v>7.3735914919425696</v>
      </c>
      <c r="L17" s="20">
        <v>7.1135756077557204</v>
      </c>
    </row>
    <row r="18" spans="1:12" x14ac:dyDescent="0.35">
      <c r="A18" s="6" t="s">
        <v>44</v>
      </c>
      <c r="B18" s="6" t="s">
        <v>45</v>
      </c>
      <c r="C18" s="15">
        <f>_xll.BDH("IOCL IN Equity","EARN_FOR_COMMON","FY 2019","FY 2019","Currency=INR","Period=FY","BEST_FPERIOD_OVERRIDE=FY","FILING_STATUS=MR","EQY_CONSOLIDATED=Y","SCALING_FORMAT=MLN","FA_ADJUSTED=Adjusted","Sort=A","Dates=H","DateFormat=P","Fill=—","Direction=H","UseDPDF=Y")</f>
        <v>174970.51</v>
      </c>
      <c r="D18" s="15">
        <f>_xll.BDH("IOCL IN Equity","EARN_FOR_COMMON","FY 2020","FY 2020","Currency=INR","Period=FY","BEST_FPERIOD_OVERRIDE=FY","FILING_STATUS=MR","EQY_CONSOLIDATED=Y","SCALING_FORMAT=MLN","FA_ADJUSTED=Adjusted","Sort=A","Dates=H","DateFormat=P","Fill=—","Direction=H","UseDPDF=Y")</f>
        <v>-11107.91</v>
      </c>
      <c r="E18" s="15">
        <f>_xll.BDH("IOCL IN Equity","EARN_FOR_COMMON","FY 2021","FY 2021","Currency=INR","Period=FY","BEST_FPERIOD_OVERRIDE=FY","FILING_STATUS=MR","EQY_CONSOLIDATED=Y","SCALING_FORMAT=MLN","FA_ADJUSTED=Adjusted","Sort=A","Dates=H","DateFormat=P","Fill=—","Direction=H","UseDPDF=Y")</f>
        <v>225314.94</v>
      </c>
      <c r="F18" s="15">
        <f>_xll.BDH("IOCL IN Equity","EARN_FOR_COMMON","FY 2022","FY 2022","Currency=INR","Period=FY","BEST_FPERIOD_OVERRIDE=FY","FILING_STATUS=MR","EQY_CONSOLIDATED=Y","SCALING_FORMAT=MLN","FA_ADJUSTED=Adjusted","Sort=A","Dates=H","DateFormat=P","Fill=—","Direction=H","UseDPDF=Y")</f>
        <v>249551.46</v>
      </c>
      <c r="G18" s="15">
        <f>_xll.BDH("IOCL IN Equity","EARN_FOR_COMMON","FY 2023","FY 2023","Currency=INR","Period=FY","BEST_FPERIOD_OVERRIDE=FY","FILING_STATUS=MR","EQY_CONSOLIDATED=Y","SCALING_FORMAT=MLN","FA_ADJUSTED=Adjusted","Sort=A","Dates=H","DateFormat=P","Fill=—","Direction=H","UseDPDF=Y")</f>
        <v>106145.22</v>
      </c>
      <c r="H18" s="15">
        <f>_xll.BDH("IOCL IN Equity","EARN_FOR_COMMON","FY 2024","FY 2024","Currency=INR","Period=FY","BEST_FPERIOD_OVERRIDE=FY","FILING_STATUS=MR","EQY_CONSOLIDATED=Y","SCALING_FORMAT=MLN","FA_ADJUSTED=Adjusted","Sort=A","Dates=H","DateFormat=P","Fill=—","Direction=H","UseDPDF=Y")</f>
        <v>419190.89</v>
      </c>
      <c r="I18" s="15">
        <f>_xll.BDH("IOCL IN Equity","EARN_FOR_COMMON","FY 2025","FY 2025","Currency=INR","Period=FY","BEST_FPERIOD_OVERRIDE=FY","FILING_STATUS=MR","EQY_CONSOLIDATED=Y","SCALING_FORMAT=MLN","FA_ADJUSTED=Adjusted","Sort=A","Dates=H","DateFormat=P","Fill=—","Direction=H","UseDPDF=Y")</f>
        <v>137527.15</v>
      </c>
      <c r="J18" s="18">
        <v>168388.61910156201</v>
      </c>
      <c r="K18" s="15">
        <v>233769.929</v>
      </c>
      <c r="L18" s="15">
        <v>232129.71400000001</v>
      </c>
    </row>
    <row r="19" spans="1:12" x14ac:dyDescent="0.35">
      <c r="A19" s="11" t="s">
        <v>40</v>
      </c>
      <c r="B19" s="11" t="s">
        <v>45</v>
      </c>
      <c r="C19" s="20">
        <v>3.3128472094024999</v>
      </c>
      <c r="D19" s="20">
        <v>-0.22961469378923</v>
      </c>
      <c r="E19" s="20">
        <v>6.1908268799914001</v>
      </c>
      <c r="F19" s="20">
        <v>4.2344531828325902</v>
      </c>
      <c r="G19" s="20">
        <v>1.2609976210324401</v>
      </c>
      <c r="H19" s="20">
        <v>5.3994962464506298</v>
      </c>
      <c r="I19" s="20">
        <v>1.8140891177182801</v>
      </c>
      <c r="J19" s="22">
        <v>2.2255917807935002</v>
      </c>
      <c r="K19" s="20">
        <v>3.2489055283527799</v>
      </c>
      <c r="L19" s="20">
        <v>3.0717993550115898</v>
      </c>
    </row>
    <row r="20" spans="1:12" x14ac:dyDescent="0.35">
      <c r="A20" s="6" t="s">
        <v>46</v>
      </c>
      <c r="B20" s="6" t="s">
        <v>47</v>
      </c>
      <c r="C20" s="16">
        <f>_xll.BDH("IOCL IN Equity","IS_DIL_EPS_CONT_OPS","FY 2019","FY 2019","Currency=INR","Period=FY","BEST_FPERIOD_OVERRIDE=FY","FILING_STATUS=MR","EQY_CONSOLIDATED=Y","Sort=A","Dates=H","DateFormat=P","Fill=—","Direction=H","UseDPDF=Y")</f>
        <v>12.3551</v>
      </c>
      <c r="D20" s="16">
        <f>_xll.BDH("IOCL IN Equity","IS_DIL_EPS_CONT_OPS","FY 2020","FY 2020","Currency=INR","Period=FY","BEST_FPERIOD_OVERRIDE=FY","FILING_STATUS=MR","EQY_CONSOLIDATED=Y","Sort=A","Dates=H","DateFormat=P","Fill=—","Direction=H","UseDPDF=Y")</f>
        <v>-0.80659999999999998</v>
      </c>
      <c r="E20" s="16">
        <f>_xll.BDH("IOCL IN Equity","IS_DIL_EPS_CONT_OPS","FY 2021","FY 2021","Currency=INR","Period=FY","BEST_FPERIOD_OVERRIDE=FY","FILING_STATUS=MR","EQY_CONSOLIDATED=Y","Sort=A","Dates=H","DateFormat=P","Fill=—","Direction=H","UseDPDF=Y")</f>
        <v>16.360900000000001</v>
      </c>
      <c r="F20" s="16">
        <f>_xll.BDH("IOCL IN Equity","IS_DIL_EPS_CONT_OPS","FY 2022","FY 2022","Currency=INR","Period=FY","BEST_FPERIOD_OVERRIDE=FY","FILING_STATUS=MR","EQY_CONSOLIDATED=Y","Sort=A","Dates=H","DateFormat=P","Fill=—","Direction=H","UseDPDF=Y")</f>
        <v>18.120799999999999</v>
      </c>
      <c r="G20" s="16">
        <f>_xll.BDH("IOCL IN Equity","IS_DIL_EPS_CONT_OPS","FY 2023","FY 2023","Currency=INR","Period=FY","BEST_FPERIOD_OVERRIDE=FY","FILING_STATUS=MR","EQY_CONSOLIDATED=Y","Sort=A","Dates=H","DateFormat=P","Fill=—","Direction=H","UseDPDF=Y")</f>
        <v>7.7076000000000002</v>
      </c>
      <c r="H20" s="16">
        <f>_xll.BDH("IOCL IN Equity","IS_DIL_EPS_CONT_OPS","FY 2024","FY 2024","Currency=INR","Period=FY","BEST_FPERIOD_OVERRIDE=FY","FILING_STATUS=MR","EQY_CONSOLIDATED=Y","Sort=A","Dates=H","DateFormat=P","Fill=—","Direction=H","UseDPDF=Y")</f>
        <v>30.4389</v>
      </c>
      <c r="I20" s="16">
        <f>_xll.BDH("IOCL IN Equity","IS_DIL_EPS_CONT_OPS","FY 2025","FY 2025","Currency=INR","Period=FY","BEST_FPERIOD_OVERRIDE=FY","FILING_STATUS=MR","EQY_CONSOLIDATED=Y","Sort=A","Dates=H","DateFormat=P","Fill=—","Direction=H","UseDPDF=Y")</f>
        <v>9.9863</v>
      </c>
      <c r="J20" s="19">
        <v>12.198111000000001</v>
      </c>
      <c r="K20" s="16">
        <v>17.823</v>
      </c>
      <c r="L20" s="16">
        <v>17.012</v>
      </c>
    </row>
    <row r="21" spans="1:12" x14ac:dyDescent="0.35">
      <c r="A21" s="11" t="s">
        <v>36</v>
      </c>
      <c r="B21" s="11" t="s">
        <v>48</v>
      </c>
      <c r="C21" s="21">
        <f>_xll.BDH("IOCL IN Equity","DILUTED_EPS_AFT_XO_ITEMS_GROWTH","FY 2019","FY 2019","Currency=INR","Period=FY","BEST_FPERIOD_OVERRIDE=FY","FILING_STATUS=MR","EQY_CONSOLIDATED=Y","FA_ADJUSTED=Adjusted","Sort=A","Dates=H","DateFormat=P","Fill=—","Direction=H","UseDPDF=Y")</f>
        <v>-22.431699999999999</v>
      </c>
      <c r="D21" s="21" t="str">
        <f>_xll.BDH("IOCL IN Equity","DILUTED_EPS_AFT_XO_ITEMS_GROWTH","FY 2020","FY 2020","Currency=INR","Period=FY","BEST_FPERIOD_OVERRIDE=FY","FILING_STATUS=MR","EQY_CONSOLIDATED=Y","FA_ADJUSTED=Adjusted","Sort=A","Dates=H","DateFormat=P","Fill=—","Direction=H","UseDPDF=Y")</f>
        <v>—</v>
      </c>
      <c r="E21" s="21" t="str">
        <f>_xll.BDH("IOCL IN Equity","DILUTED_EPS_AFT_XO_ITEMS_GROWTH","FY 2021","FY 2021","Currency=INR","Period=FY","BEST_FPERIOD_OVERRIDE=FY","FILING_STATUS=MR","EQY_CONSOLIDATED=Y","FA_ADJUSTED=Adjusted","Sort=A","Dates=H","DateFormat=P","Fill=—","Direction=H","UseDPDF=Y")</f>
        <v>—</v>
      </c>
      <c r="F21" s="21">
        <f>_xll.BDH("IOCL IN Equity","DILUTED_EPS_AFT_XO_ITEMS_GROWTH","FY 2022","FY 2022","Currency=INR","Period=FY","BEST_FPERIOD_OVERRIDE=FY","FILING_STATUS=MR","EQY_CONSOLIDATED=Y","FA_ADJUSTED=Adjusted","Sort=A","Dates=H","DateFormat=P","Fill=—","Direction=H","UseDPDF=Y")</f>
        <v>10.7567</v>
      </c>
      <c r="G21" s="21">
        <f>_xll.BDH("IOCL IN Equity","DILUTED_EPS_AFT_XO_ITEMS_GROWTH","FY 2023","FY 2023","Currency=INR","Period=FY","BEST_FPERIOD_OVERRIDE=FY","FILING_STATUS=MR","EQY_CONSOLIDATED=Y","FA_ADJUSTED=Adjusted","Sort=A","Dates=H","DateFormat=P","Fill=—","Direction=H","UseDPDF=Y")</f>
        <v>-57.465600000000002</v>
      </c>
      <c r="H21" s="21">
        <f>_xll.BDH("IOCL IN Equity","DILUTED_EPS_AFT_XO_ITEMS_GROWTH","FY 2024","FY 2024","Currency=INR","Period=FY","BEST_FPERIOD_OVERRIDE=FY","FILING_STATUS=MR","EQY_CONSOLIDATED=Y","FA_ADJUSTED=Adjusted","Sort=A","Dates=H","DateFormat=P","Fill=—","Direction=H","UseDPDF=Y")</f>
        <v>294.92200000000003</v>
      </c>
      <c r="I21" s="21">
        <f>_xll.BDH("IOCL IN Equity","DILUTED_EPS_AFT_XO_ITEMS_GROWTH","FY 2025","FY 2025","Currency=INR","Period=FY","BEST_FPERIOD_OVERRIDE=FY","FILING_STATUS=MR","EQY_CONSOLIDATED=Y","FA_ADJUSTED=Adjusted","Sort=A","Dates=H","DateFormat=P","Fill=—","Direction=H","UseDPDF=Y")</f>
        <v>-67.1922</v>
      </c>
      <c r="J21" s="23">
        <v>-45.132896334638303</v>
      </c>
      <c r="K21" s="21">
        <v>78.474224128297195</v>
      </c>
      <c r="L21" s="21">
        <v>-4.5503001739325599</v>
      </c>
    </row>
    <row r="22" spans="1:12" x14ac:dyDescent="0.35">
      <c r="A22" s="6"/>
      <c r="B22" s="14"/>
      <c r="C22" s="14"/>
      <c r="D22" s="14"/>
      <c r="E22" s="14"/>
      <c r="F22" s="14"/>
      <c r="G22" s="14"/>
      <c r="H22" s="14"/>
      <c r="I22" s="14"/>
      <c r="J22" s="17"/>
      <c r="K22" s="14"/>
      <c r="L22" s="14"/>
    </row>
    <row r="23" spans="1:12" x14ac:dyDescent="0.35">
      <c r="A23" s="6" t="s">
        <v>49</v>
      </c>
      <c r="B23" s="6" t="s">
        <v>50</v>
      </c>
      <c r="C23" s="15">
        <f>_xll.BDH("IOCL IN Equity","CF_CASH_FROM_OPER","FY 2019","FY 2019","Currency=INR","Period=FY","BEST_FPERIOD_OVERRIDE=FY","FILING_STATUS=MR","EQY_CONSOLIDATED=Y","SCALING_FORMAT=MLN","Sort=A","Dates=H","DateFormat=P","Fill=—","Direction=H","UseDPDF=Y")</f>
        <v>109845.8</v>
      </c>
      <c r="D23" s="15">
        <f>_xll.BDH("IOCL IN Equity","CF_CASH_FROM_OPER","FY 2020","FY 2020","Currency=INR","Period=FY","BEST_FPERIOD_OVERRIDE=FY","FILING_STATUS=MR","EQY_CONSOLIDATED=Y","SCALING_FORMAT=MLN","Sort=A","Dates=H","DateFormat=P","Fill=—","Direction=H","UseDPDF=Y")</f>
        <v>55883.9</v>
      </c>
      <c r="E23" s="15">
        <f>_xll.BDH("IOCL IN Equity","CF_CASH_FROM_OPER","FY 2021","FY 2021","Currency=INR","Period=FY","BEST_FPERIOD_OVERRIDE=FY","FILING_STATUS=MR","EQY_CONSOLIDATED=Y","SCALING_FORMAT=MLN","Sort=A","Dates=H","DateFormat=P","Fill=—","Direction=H","UseDPDF=Y")</f>
        <v>472331.4</v>
      </c>
      <c r="F23" s="15">
        <f>_xll.BDH("IOCL IN Equity","CF_CASH_FROM_OPER","FY 2022","FY 2022","Currency=INR","Period=FY","BEST_FPERIOD_OVERRIDE=FY","FILING_STATUS=MR","EQY_CONSOLIDATED=Y","SCALING_FORMAT=MLN","Sort=A","Dates=H","DateFormat=P","Fill=—","Direction=H","UseDPDF=Y")</f>
        <v>228182.9</v>
      </c>
      <c r="G23" s="15">
        <f>_xll.BDH("IOCL IN Equity","CF_CASH_FROM_OPER","FY 2023","FY 2023","Currency=INR","Period=FY","BEST_FPERIOD_OVERRIDE=FY","FILING_STATUS=MR","EQY_CONSOLIDATED=Y","SCALING_FORMAT=MLN","Sort=A","Dates=H","DateFormat=P","Fill=—","Direction=H","UseDPDF=Y")</f>
        <v>285378.8</v>
      </c>
      <c r="H23" s="15">
        <f>_xll.BDH("IOCL IN Equity","CF_CASH_FROM_OPER","FY 2024","FY 2024","Currency=INR","Period=FY","BEST_FPERIOD_OVERRIDE=FY","FILING_STATUS=MR","EQY_CONSOLIDATED=Y","SCALING_FORMAT=MLN","Sort=A","Dates=H","DateFormat=P","Fill=—","Direction=H","UseDPDF=Y")</f>
        <v>672503.2</v>
      </c>
      <c r="I23" s="15">
        <f>_xll.BDH("IOCL IN Equity","CF_CASH_FROM_OPER","FY 2025","FY 2025","Currency=INR","Period=FY","BEST_FPERIOD_OVERRIDE=FY","FILING_STATUS=MR","EQY_CONSOLIDATED=Y","SCALING_FORMAT=MLN","Sort=A","Dates=H","DateFormat=P","Fill=—","Direction=H","UseDPDF=Y")</f>
        <v>297414.8</v>
      </c>
      <c r="J23" s="18"/>
      <c r="K23" s="15"/>
      <c r="L23" s="15"/>
    </row>
    <row r="24" spans="1:12" x14ac:dyDescent="0.35">
      <c r="A24" s="6" t="s">
        <v>51</v>
      </c>
      <c r="B24" s="6" t="s">
        <v>52</v>
      </c>
      <c r="C24" s="15">
        <f>_xll.BDH("IOCL IN Equity","CAPITAL_EXPEND","FY 2019","FY 2019","Currency=INR","Period=FY","BEST_FPERIOD_OVERRIDE=FY","FILING_STATUS=MR","EQY_CONSOLIDATED=Y","SCALING_FORMAT=MLN","Sort=A","Dates=H","DateFormat=P","Fill=—","Direction=H","UseDPDF=Y")</f>
        <v>-254948.8</v>
      </c>
      <c r="D24" s="15">
        <f>_xll.BDH("IOCL IN Equity","CAPITAL_EXPEND","FY 2020","FY 2020","Currency=INR","Period=FY","BEST_FPERIOD_OVERRIDE=FY","FILING_STATUS=MR","EQY_CONSOLIDATED=Y","SCALING_FORMAT=MLN","Sort=A","Dates=H","DateFormat=P","Fill=—","Direction=H","UseDPDF=Y")</f>
        <v>-321774.3</v>
      </c>
      <c r="E24" s="15">
        <f>_xll.BDH("IOCL IN Equity","CAPITAL_EXPEND","FY 2021","FY 2021","Currency=INR","Period=FY","BEST_FPERIOD_OVERRIDE=FY","FILING_STATUS=MR","EQY_CONSOLIDATED=Y","SCALING_FORMAT=MLN","Sort=A","Dates=H","DateFormat=P","Fill=—","Direction=H","UseDPDF=Y")</f>
        <v>-225389.8</v>
      </c>
      <c r="F24" s="15">
        <f>_xll.BDH("IOCL IN Equity","CAPITAL_EXPEND","FY 2022","FY 2022","Currency=INR","Period=FY","BEST_FPERIOD_OVERRIDE=FY","FILING_STATUS=MR","EQY_CONSOLIDATED=Y","SCALING_FORMAT=MLN","Sort=A","Dates=H","DateFormat=P","Fill=—","Direction=H","UseDPDF=Y")</f>
        <v>-230371.1</v>
      </c>
      <c r="G24" s="15">
        <f>_xll.BDH("IOCL IN Equity","CAPITAL_EXPEND","FY 2023","FY 2023","Currency=INR","Period=FY","BEST_FPERIOD_OVERRIDE=FY","FILING_STATUS=MR","EQY_CONSOLIDATED=Y","SCALING_FORMAT=MLN","Sort=A","Dates=H","DateFormat=P","Fill=—","Direction=H","UseDPDF=Y")</f>
        <v>-328495.3</v>
      </c>
      <c r="H24" s="15">
        <f>_xll.BDH("IOCL IN Equity","CAPITAL_EXPEND","FY 2024","FY 2024","Currency=INR","Period=FY","BEST_FPERIOD_OVERRIDE=FY","FILING_STATUS=MR","EQY_CONSOLIDATED=Y","SCALING_FORMAT=MLN","Sort=A","Dates=H","DateFormat=P","Fill=—","Direction=H","UseDPDF=Y")</f>
        <v>-371753.5</v>
      </c>
      <c r="I24" s="15">
        <f>_xll.BDH("IOCL IN Equity","CAPITAL_EXPEND","FY 2025","FY 2025","Currency=INR","Period=FY","BEST_FPERIOD_OVERRIDE=FY","FILING_STATUS=MR","EQY_CONSOLIDATED=Y","SCALING_FORMAT=MLN","Sort=A","Dates=H","DateFormat=P","Fill=—","Direction=H","UseDPDF=Y")</f>
        <v>-348499.4</v>
      </c>
      <c r="J24" s="18">
        <v>0</v>
      </c>
      <c r="K24" s="15">
        <v>-348173.86700000003</v>
      </c>
      <c r="L24" s="15">
        <v>-342116</v>
      </c>
    </row>
    <row r="25" spans="1:12" x14ac:dyDescent="0.35">
      <c r="A25" s="6" t="s">
        <v>53</v>
      </c>
      <c r="B25" s="6" t="s">
        <v>54</v>
      </c>
      <c r="C25" s="15">
        <f>_xll.BDH("IOCL IN Equity","CF_FREE_CASH_FLOW","FY 2019","FY 2019","Currency=INR","Period=FY","BEST_FPERIOD_OVERRIDE=FY","FILING_STATUS=MR","EQY_CONSOLIDATED=Y","SCALING_FORMAT=MLN","Sort=A","Dates=H","DateFormat=P","Fill=—","Direction=H","UseDPDF=Y")</f>
        <v>-145103</v>
      </c>
      <c r="D25" s="15">
        <f>_xll.BDH("IOCL IN Equity","CF_FREE_CASH_FLOW","FY 2020","FY 2020","Currency=INR","Period=FY","BEST_FPERIOD_OVERRIDE=FY","FILING_STATUS=MR","EQY_CONSOLIDATED=Y","SCALING_FORMAT=MLN","Sort=A","Dates=H","DateFormat=P","Fill=—","Direction=H","UseDPDF=Y")</f>
        <v>-265890.40000000002</v>
      </c>
      <c r="E25" s="15">
        <f>_xll.BDH("IOCL IN Equity","CF_FREE_CASH_FLOW","FY 2021","FY 2021","Currency=INR","Period=FY","BEST_FPERIOD_OVERRIDE=FY","FILING_STATUS=MR","EQY_CONSOLIDATED=Y","SCALING_FORMAT=MLN","Sort=A","Dates=H","DateFormat=P","Fill=—","Direction=H","UseDPDF=Y")</f>
        <v>246941.6</v>
      </c>
      <c r="F25" s="15">
        <f>_xll.BDH("IOCL IN Equity","CF_FREE_CASH_FLOW","FY 2022","FY 2022","Currency=INR","Period=FY","BEST_FPERIOD_OVERRIDE=FY","FILING_STATUS=MR","EQY_CONSOLIDATED=Y","SCALING_FORMAT=MLN","Sort=A","Dates=H","DateFormat=P","Fill=—","Direction=H","UseDPDF=Y")</f>
        <v>-2188.1999999999998</v>
      </c>
      <c r="G25" s="15">
        <f>_xll.BDH("IOCL IN Equity","CF_FREE_CASH_FLOW","FY 2023","FY 2023","Currency=INR","Period=FY","BEST_FPERIOD_OVERRIDE=FY","FILING_STATUS=MR","EQY_CONSOLIDATED=Y","SCALING_FORMAT=MLN","Sort=A","Dates=H","DateFormat=P","Fill=—","Direction=H","UseDPDF=Y")</f>
        <v>-43116.5</v>
      </c>
      <c r="H25" s="15">
        <f>_xll.BDH("IOCL IN Equity","CF_FREE_CASH_FLOW","FY 2024","FY 2024","Currency=INR","Period=FY","BEST_FPERIOD_OVERRIDE=FY","FILING_STATUS=MR","EQY_CONSOLIDATED=Y","SCALING_FORMAT=MLN","Sort=A","Dates=H","DateFormat=P","Fill=—","Direction=H","UseDPDF=Y")</f>
        <v>300749.7</v>
      </c>
      <c r="I25" s="15">
        <f>_xll.BDH("IOCL IN Equity","CF_FREE_CASH_FLOW","FY 2025","FY 2025","Currency=INR","Period=FY","BEST_FPERIOD_OVERRIDE=FY","FILING_STATUS=MR","EQY_CONSOLIDATED=Y","SCALING_FORMAT=MLN","Sort=A","Dates=H","DateFormat=P","Fill=—","Direction=H","UseDPDF=Y")</f>
        <v>-51084.6</v>
      </c>
      <c r="J25" s="18"/>
      <c r="K25" s="15">
        <v>165798.864</v>
      </c>
      <c r="L25" s="15">
        <v>135744.755</v>
      </c>
    </row>
    <row r="26" spans="1:12" x14ac:dyDescent="0.35">
      <c r="A26" s="7" t="s">
        <v>55</v>
      </c>
      <c r="B26" s="7"/>
      <c r="C26" s="7" t="s">
        <v>0</v>
      </c>
      <c r="D26" s="7"/>
      <c r="E26" s="7"/>
      <c r="F26" s="7"/>
      <c r="G26" s="7"/>
      <c r="H26" s="7"/>
      <c r="I26" s="7"/>
      <c r="J26" s="7"/>
      <c r="K26" s="7"/>
      <c r="L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 Adj Highlights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Zanskar</cp:lastModifiedBy>
  <dcterms:created xsi:type="dcterms:W3CDTF">2013-04-03T15:49:21Z</dcterms:created>
  <dcterms:modified xsi:type="dcterms:W3CDTF">2025-09-16T11:59:24Z</dcterms:modified>
</cp:coreProperties>
</file>